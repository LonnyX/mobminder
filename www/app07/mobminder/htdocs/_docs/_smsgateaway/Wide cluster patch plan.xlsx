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500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I5" i="1"/>
  <c r="I6"/>
  <c r="G6" s="1"/>
  <c r="I4"/>
  <c r="G4"/>
  <c r="F4"/>
  <c r="I17"/>
  <c r="G10"/>
  <c r="G11"/>
  <c r="F12" s="1"/>
  <c r="G12"/>
  <c r="G13"/>
  <c r="F14" s="1"/>
  <c r="G14"/>
  <c r="G15"/>
  <c r="G9"/>
  <c r="F10" s="1"/>
  <c r="F11"/>
  <c r="F13"/>
  <c r="F15"/>
  <c r="I10"/>
  <c r="I11"/>
  <c r="I12"/>
  <c r="I13"/>
  <c r="I14"/>
  <c r="I15"/>
  <c r="G5" s="1"/>
  <c r="F6" s="1"/>
  <c r="I9"/>
  <c r="G8"/>
  <c r="G3"/>
  <c r="G17"/>
  <c r="F18" s="1"/>
  <c r="I19"/>
  <c r="G19" s="1"/>
  <c r="F20" s="1"/>
  <c r="I20"/>
  <c r="G20" s="1"/>
  <c r="F21" s="1"/>
  <c r="I21"/>
  <c r="G21" s="1"/>
  <c r="F22" s="1"/>
  <c r="I22"/>
  <c r="G22" s="1"/>
  <c r="F23" s="1"/>
  <c r="I23"/>
  <c r="G23" s="1"/>
  <c r="F24" s="1"/>
  <c r="I24"/>
  <c r="G24" s="1"/>
  <c r="I25"/>
  <c r="G25" s="1"/>
  <c r="F26" s="1"/>
  <c r="I26"/>
  <c r="G26" s="1"/>
  <c r="F27" s="1"/>
  <c r="I27"/>
  <c r="G27" s="1"/>
  <c r="F28" s="1"/>
  <c r="I28"/>
  <c r="G28" s="1"/>
  <c r="F29" s="1"/>
  <c r="I29"/>
  <c r="G29" s="1"/>
  <c r="F30" s="1"/>
  <c r="I30"/>
  <c r="G30" s="1"/>
  <c r="F31" s="1"/>
  <c r="I31"/>
  <c r="G31" s="1"/>
  <c r="F32" s="1"/>
  <c r="I32"/>
  <c r="G32" s="1"/>
  <c r="I18"/>
  <c r="G18" s="1"/>
  <c r="F19" s="1"/>
  <c r="F9"/>
  <c r="F5" l="1"/>
  <c r="F25"/>
</calcChain>
</file>

<file path=xl/sharedStrings.xml><?xml version="1.0" encoding="utf-8"?>
<sst xmlns="http://schemas.openxmlformats.org/spreadsheetml/2006/main" count="63" uniqueCount="39">
  <si>
    <t>S_01</t>
  </si>
  <si>
    <t>S_02</t>
  </si>
  <si>
    <t>S_03</t>
  </si>
  <si>
    <t>S_04</t>
  </si>
  <si>
    <t>S_05</t>
  </si>
  <si>
    <t>S_06</t>
  </si>
  <si>
    <t>S_07</t>
  </si>
  <si>
    <t>S_08</t>
  </si>
  <si>
    <t>S_09</t>
  </si>
  <si>
    <t>S_10</t>
  </si>
  <si>
    <t>S_11</t>
  </si>
  <si>
    <t>S_12</t>
  </si>
  <si>
    <t>S_13</t>
  </si>
  <si>
    <t>S_14</t>
  </si>
  <si>
    <t>S_15</t>
  </si>
  <si>
    <t>S_16</t>
  </si>
  <si>
    <t>S_17</t>
  </si>
  <si>
    <t>S_18</t>
  </si>
  <si>
    <t>S_19</t>
  </si>
  <si>
    <t>S_20</t>
  </si>
  <si>
    <t>S_21</t>
  </si>
  <si>
    <t>S_22</t>
  </si>
  <si>
    <t>S_23</t>
  </si>
  <si>
    <t>S_24</t>
  </si>
  <si>
    <t>S_25</t>
  </si>
  <si>
    <t>S_26</t>
  </si>
  <si>
    <t>S_27</t>
  </si>
  <si>
    <t>S_28</t>
  </si>
  <si>
    <t>orange</t>
  </si>
  <si>
    <t>proximus</t>
  </si>
  <si>
    <t>telenet</t>
  </si>
  <si>
    <t>scarlet</t>
  </si>
  <si>
    <t>id</t>
  </si>
  <si>
    <t>sat mobile</t>
  </si>
  <si>
    <t>sat iccid</t>
  </si>
  <si>
    <t>sat name</t>
  </si>
  <si>
    <t>sat oper</t>
  </si>
  <si>
    <t>n_sup_to</t>
  </si>
  <si>
    <t>n_inf_to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</si>
</sst>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2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selection activeCell="B41" sqref="B41"/>
    </sheetView>
  </sheetViews>
  <sheetFormatPr baseColWidth="10" defaultRowHeight="14.5"/>
  <cols>
    <col min="1" max="1" width="14.90625" customWidth="1"/>
    <col min="2" max="2" width="22.7265625" customWidth="1"/>
    <col min="4" max="4" width="6.7265625" customWidth="1"/>
    <col min="8" max="8" width="5.81640625" customWidth="1"/>
  </cols>
  <sheetData>
    <row r="1" spans="1:9" s="1" customFormat="1">
      <c r="A1" s="1" t="s">
        <v>33</v>
      </c>
      <c r="B1" s="1" t="s">
        <v>34</v>
      </c>
      <c r="C1" s="1" t="s">
        <v>35</v>
      </c>
      <c r="D1" s="1" t="s">
        <v>32</v>
      </c>
      <c r="E1" s="1" t="s">
        <v>36</v>
      </c>
      <c r="F1" s="1" t="s">
        <v>37</v>
      </c>
      <c r="G1" s="1" t="s">
        <v>38</v>
      </c>
    </row>
    <row r="2" spans="1:9" s="1" customFormat="1"/>
    <row r="3" spans="1:9">
      <c r="A3" s="3">
        <v>32488084711</v>
      </c>
      <c r="B3" s="4">
        <v>8.9320300001212396E+18</v>
      </c>
      <c r="C3" s="3" t="s">
        <v>7</v>
      </c>
      <c r="D3" s="3">
        <v>1008</v>
      </c>
      <c r="E3" s="3" t="s">
        <v>30</v>
      </c>
      <c r="F3" s="3">
        <v>0</v>
      </c>
      <c r="G3" s="3">
        <f t="shared" ref="G3:G6" si="0">I3</f>
        <v>250</v>
      </c>
      <c r="H3">
        <v>1</v>
      </c>
      <c r="I3">
        <v>250</v>
      </c>
    </row>
    <row r="4" spans="1:9">
      <c r="A4" s="3">
        <v>32488084723</v>
      </c>
      <c r="B4" s="4">
        <v>8.9320300001212396E+18</v>
      </c>
      <c r="C4" s="3" t="s">
        <v>11</v>
      </c>
      <c r="D4" s="3">
        <v>1012</v>
      </c>
      <c r="E4" s="3" t="s">
        <v>30</v>
      </c>
      <c r="F4" s="3">
        <f>G3</f>
        <v>250</v>
      </c>
      <c r="G4" s="3">
        <f>I4</f>
        <v>500</v>
      </c>
      <c r="H4">
        <v>2</v>
      </c>
      <c r="I4">
        <f>$I$3*H4</f>
        <v>500</v>
      </c>
    </row>
    <row r="5" spans="1:9">
      <c r="A5" s="3">
        <v>32488084762</v>
      </c>
      <c r="B5" s="4">
        <v>8.9320300001212396E+18</v>
      </c>
      <c r="C5" s="3" t="s">
        <v>15</v>
      </c>
      <c r="D5" s="3">
        <v>1016</v>
      </c>
      <c r="E5" s="3" t="s">
        <v>30</v>
      </c>
      <c r="F5" s="3">
        <f t="shared" ref="F4:F6" si="1">G4</f>
        <v>500</v>
      </c>
      <c r="G5" s="3">
        <f t="shared" si="0"/>
        <v>750</v>
      </c>
      <c r="H5">
        <v>3</v>
      </c>
      <c r="I5">
        <f t="shared" ref="I5:I6" si="2">$I$3*H5</f>
        <v>750</v>
      </c>
    </row>
    <row r="6" spans="1:9">
      <c r="A6" s="3">
        <v>32488084889</v>
      </c>
      <c r="B6" s="4">
        <v>8.9320300001212396E+18</v>
      </c>
      <c r="C6" s="3" t="s">
        <v>26</v>
      </c>
      <c r="D6" s="3">
        <v>1027</v>
      </c>
      <c r="E6" s="3" t="s">
        <v>30</v>
      </c>
      <c r="F6" s="3">
        <f t="shared" si="1"/>
        <v>750</v>
      </c>
      <c r="G6" s="3">
        <f t="shared" si="0"/>
        <v>1000</v>
      </c>
      <c r="H6">
        <v>4</v>
      </c>
      <c r="I6">
        <f t="shared" si="2"/>
        <v>1000</v>
      </c>
    </row>
    <row r="7" spans="1:9">
      <c r="A7" s="3"/>
      <c r="B7" s="4"/>
      <c r="C7" s="3"/>
      <c r="D7" s="3"/>
      <c r="E7" s="3"/>
      <c r="F7" s="3"/>
      <c r="G7" s="3"/>
    </row>
    <row r="8" spans="1:9">
      <c r="A8" s="8">
        <v>32499500982</v>
      </c>
      <c r="B8" s="9">
        <v>8.9320298620211405E+18</v>
      </c>
      <c r="C8" s="8" t="s">
        <v>0</v>
      </c>
      <c r="D8" s="8">
        <v>1001</v>
      </c>
      <c r="E8" s="8" t="s">
        <v>28</v>
      </c>
      <c r="F8" s="8">
        <v>0</v>
      </c>
      <c r="G8" s="8">
        <f>I8</f>
        <v>125</v>
      </c>
      <c r="H8">
        <v>1</v>
      </c>
      <c r="I8" s="2">
        <v>125</v>
      </c>
    </row>
    <row r="9" spans="1:9">
      <c r="A9" s="8">
        <v>32495501521</v>
      </c>
      <c r="B9" s="9">
        <v>8.9320298620211405E+18</v>
      </c>
      <c r="C9" s="8" t="s">
        <v>4</v>
      </c>
      <c r="D9" s="8">
        <v>1005</v>
      </c>
      <c r="E9" s="8" t="s">
        <v>28</v>
      </c>
      <c r="F9" s="8">
        <f>G8</f>
        <v>125</v>
      </c>
      <c r="G9" s="8">
        <f>I9</f>
        <v>250</v>
      </c>
      <c r="H9">
        <v>2</v>
      </c>
      <c r="I9">
        <f>$I$8*H9</f>
        <v>250</v>
      </c>
    </row>
    <row r="10" spans="1:9">
      <c r="A10" s="8">
        <v>32495501685</v>
      </c>
      <c r="B10" s="9">
        <v>8.9320298220216996E+18</v>
      </c>
      <c r="C10" s="8" t="s">
        <v>8</v>
      </c>
      <c r="D10" s="8">
        <v>1009</v>
      </c>
      <c r="E10" s="8" t="s">
        <v>28</v>
      </c>
      <c r="F10" s="8">
        <f t="shared" ref="F10:F15" si="3">G9</f>
        <v>250</v>
      </c>
      <c r="G10" s="8">
        <f t="shared" ref="G10:G15" si="4">I10</f>
        <v>375</v>
      </c>
      <c r="H10">
        <v>3</v>
      </c>
      <c r="I10">
        <f t="shared" ref="I10:I15" si="5">$I$8*H10</f>
        <v>375</v>
      </c>
    </row>
    <row r="11" spans="1:9">
      <c r="A11" s="8">
        <v>32493918675</v>
      </c>
      <c r="B11" s="9">
        <v>8.9320298620211405E+18</v>
      </c>
      <c r="C11" s="8" t="s">
        <v>12</v>
      </c>
      <c r="D11" s="8">
        <v>1013</v>
      </c>
      <c r="E11" s="8" t="s">
        <v>28</v>
      </c>
      <c r="F11" s="8">
        <f t="shared" si="3"/>
        <v>375</v>
      </c>
      <c r="G11" s="8">
        <f t="shared" si="4"/>
        <v>500</v>
      </c>
      <c r="H11">
        <v>4</v>
      </c>
      <c r="I11">
        <f t="shared" si="5"/>
        <v>500</v>
      </c>
    </row>
    <row r="12" spans="1:9">
      <c r="A12" s="8">
        <v>32492245851</v>
      </c>
      <c r="B12" s="9">
        <v>8.9320298620211405E+18</v>
      </c>
      <c r="C12" s="8" t="s">
        <v>16</v>
      </c>
      <c r="D12" s="8">
        <v>1017</v>
      </c>
      <c r="E12" s="8" t="s">
        <v>28</v>
      </c>
      <c r="F12" s="8">
        <f t="shared" si="3"/>
        <v>500</v>
      </c>
      <c r="G12" s="8">
        <f t="shared" si="4"/>
        <v>625</v>
      </c>
      <c r="H12">
        <v>5</v>
      </c>
      <c r="I12">
        <f t="shared" si="5"/>
        <v>625</v>
      </c>
    </row>
    <row r="13" spans="1:9">
      <c r="A13" s="8">
        <v>32492245850</v>
      </c>
      <c r="B13" s="9">
        <v>8.9320298620211405E+18</v>
      </c>
      <c r="C13" s="8" t="s">
        <v>20</v>
      </c>
      <c r="D13" s="8">
        <v>1021</v>
      </c>
      <c r="E13" s="8" t="s">
        <v>28</v>
      </c>
      <c r="F13" s="8">
        <f t="shared" si="3"/>
        <v>625</v>
      </c>
      <c r="G13" s="8">
        <f t="shared" si="4"/>
        <v>750</v>
      </c>
      <c r="H13">
        <v>6</v>
      </c>
      <c r="I13">
        <f t="shared" si="5"/>
        <v>750</v>
      </c>
    </row>
    <row r="14" spans="1:9">
      <c r="A14" s="6">
        <v>32470180559</v>
      </c>
      <c r="B14" s="7">
        <v>8.9320021003753298E+18</v>
      </c>
      <c r="C14" s="6" t="s">
        <v>27</v>
      </c>
      <c r="D14" s="6">
        <v>1028</v>
      </c>
      <c r="E14" s="6" t="s">
        <v>29</v>
      </c>
      <c r="F14" s="8">
        <f t="shared" si="3"/>
        <v>750</v>
      </c>
      <c r="G14" s="8">
        <f t="shared" si="4"/>
        <v>875</v>
      </c>
      <c r="H14">
        <v>7</v>
      </c>
      <c r="I14">
        <f t="shared" si="5"/>
        <v>875</v>
      </c>
    </row>
    <row r="15" spans="1:9">
      <c r="A15" s="3">
        <v>32484873478</v>
      </c>
      <c r="B15" s="4">
        <v>8.9320300001204695E+18</v>
      </c>
      <c r="C15" s="3" t="s">
        <v>3</v>
      </c>
      <c r="D15" s="3">
        <v>1004</v>
      </c>
      <c r="E15" s="3" t="s">
        <v>30</v>
      </c>
      <c r="F15" s="8">
        <f t="shared" si="3"/>
        <v>875</v>
      </c>
      <c r="G15" s="8">
        <f t="shared" si="4"/>
        <v>1000</v>
      </c>
      <c r="H15">
        <v>8</v>
      </c>
      <c r="I15">
        <f t="shared" si="5"/>
        <v>1000</v>
      </c>
    </row>
    <row r="16" spans="1:9">
      <c r="A16" s="3"/>
      <c r="B16" s="4"/>
      <c r="C16" s="3"/>
      <c r="D16" s="3"/>
      <c r="E16" s="3"/>
      <c r="F16" s="3"/>
      <c r="G16" s="3"/>
      <c r="I16" s="2"/>
    </row>
    <row r="17" spans="1:10">
      <c r="A17" s="6">
        <v>32473111527</v>
      </c>
      <c r="B17" s="7">
        <v>8.9320021003729101E+18</v>
      </c>
      <c r="C17" s="6" t="s">
        <v>1</v>
      </c>
      <c r="D17" s="6">
        <v>1002</v>
      </c>
      <c r="E17" s="6" t="s">
        <v>29</v>
      </c>
      <c r="F17" s="7">
        <v>0</v>
      </c>
      <c r="G17" s="7">
        <f>I17+1</f>
        <v>63.5</v>
      </c>
      <c r="H17">
        <v>1</v>
      </c>
      <c r="I17" s="2">
        <f>1000/16</f>
        <v>62.5</v>
      </c>
    </row>
    <row r="18" spans="1:10">
      <c r="A18" s="6">
        <v>32473111646</v>
      </c>
      <c r="B18" s="7">
        <v>8.9320021003729101E+18</v>
      </c>
      <c r="C18" s="6" t="s">
        <v>2</v>
      </c>
      <c r="D18" s="6">
        <v>1003</v>
      </c>
      <c r="E18" s="6" t="s">
        <v>29</v>
      </c>
      <c r="F18" s="7">
        <f>G17</f>
        <v>63.5</v>
      </c>
      <c r="G18" s="7">
        <f t="shared" ref="G18:G32" si="6">I18+1</f>
        <v>126</v>
      </c>
      <c r="H18">
        <v>2</v>
      </c>
      <c r="I18">
        <f>$I$17*H18</f>
        <v>125</v>
      </c>
    </row>
    <row r="19" spans="1:10">
      <c r="A19" s="6">
        <v>32473111715</v>
      </c>
      <c r="B19" s="7">
        <v>8.9320021003729101E+18</v>
      </c>
      <c r="C19" s="6" t="s">
        <v>5</v>
      </c>
      <c r="D19" s="6">
        <v>1006</v>
      </c>
      <c r="E19" s="6" t="s">
        <v>29</v>
      </c>
      <c r="F19" s="7">
        <f t="shared" ref="F19:F32" si="7">G18</f>
        <v>126</v>
      </c>
      <c r="G19" s="7">
        <f t="shared" si="6"/>
        <v>188.5</v>
      </c>
      <c r="H19">
        <v>3</v>
      </c>
      <c r="I19">
        <f t="shared" ref="I19:I32" si="8">$I$17*H19</f>
        <v>187.5</v>
      </c>
    </row>
    <row r="20" spans="1:10">
      <c r="A20" s="6">
        <v>32473111797</v>
      </c>
      <c r="B20" s="7">
        <v>8.9320021003729101E+18</v>
      </c>
      <c r="C20" s="6" t="s">
        <v>6</v>
      </c>
      <c r="D20" s="6">
        <v>1007</v>
      </c>
      <c r="E20" s="6" t="s">
        <v>29</v>
      </c>
      <c r="F20" s="7">
        <f t="shared" si="7"/>
        <v>188.5</v>
      </c>
      <c r="G20" s="7">
        <f t="shared" si="6"/>
        <v>251</v>
      </c>
      <c r="H20">
        <v>4</v>
      </c>
      <c r="I20">
        <f t="shared" si="8"/>
        <v>250</v>
      </c>
    </row>
    <row r="21" spans="1:10">
      <c r="A21" s="6">
        <v>32474160746</v>
      </c>
      <c r="B21" s="7">
        <v>8.9320021003509596E+18</v>
      </c>
      <c r="C21" s="6" t="s">
        <v>9</v>
      </c>
      <c r="D21" s="6">
        <v>1010</v>
      </c>
      <c r="E21" s="6" t="s">
        <v>29</v>
      </c>
      <c r="F21" s="7">
        <f t="shared" si="7"/>
        <v>251</v>
      </c>
      <c r="G21" s="7">
        <f t="shared" si="6"/>
        <v>313.5</v>
      </c>
      <c r="H21">
        <v>5</v>
      </c>
      <c r="I21">
        <f t="shared" si="8"/>
        <v>312.5</v>
      </c>
    </row>
    <row r="22" spans="1:10">
      <c r="A22" s="6">
        <v>32474167718</v>
      </c>
      <c r="B22" s="7">
        <v>8.9320021003509596E+18</v>
      </c>
      <c r="C22" s="6" t="s">
        <v>10</v>
      </c>
      <c r="D22" s="6">
        <v>1011</v>
      </c>
      <c r="E22" s="6" t="s">
        <v>29</v>
      </c>
      <c r="F22" s="7">
        <f t="shared" si="7"/>
        <v>313.5</v>
      </c>
      <c r="G22" s="7">
        <f t="shared" si="6"/>
        <v>376</v>
      </c>
      <c r="H22">
        <v>6</v>
      </c>
      <c r="I22">
        <f t="shared" si="8"/>
        <v>375</v>
      </c>
    </row>
    <row r="23" spans="1:10">
      <c r="A23" s="6">
        <v>32470641814</v>
      </c>
      <c r="B23" s="7">
        <v>8.9320021003628503E+18</v>
      </c>
      <c r="C23" s="6" t="s">
        <v>13</v>
      </c>
      <c r="D23" s="6">
        <v>1014</v>
      </c>
      <c r="E23" s="6" t="s">
        <v>29</v>
      </c>
      <c r="F23" s="7">
        <f t="shared" si="7"/>
        <v>376</v>
      </c>
      <c r="G23" s="7">
        <f t="shared" si="6"/>
        <v>438.5</v>
      </c>
      <c r="H23">
        <v>7</v>
      </c>
      <c r="I23">
        <f t="shared" si="8"/>
        <v>437.5</v>
      </c>
    </row>
    <row r="24" spans="1:10">
      <c r="A24" s="6">
        <v>32470864844</v>
      </c>
      <c r="B24" s="7">
        <v>8.9320021003628503E+18</v>
      </c>
      <c r="C24" s="6" t="s">
        <v>14</v>
      </c>
      <c r="D24" s="6">
        <v>1015</v>
      </c>
      <c r="E24" s="6" t="s">
        <v>29</v>
      </c>
      <c r="F24" s="7">
        <f t="shared" si="7"/>
        <v>438.5</v>
      </c>
      <c r="G24" s="7">
        <f t="shared" si="6"/>
        <v>501</v>
      </c>
      <c r="H24">
        <v>8</v>
      </c>
      <c r="I24">
        <f t="shared" si="8"/>
        <v>500</v>
      </c>
    </row>
    <row r="25" spans="1:10">
      <c r="A25" s="2">
        <v>32474731174</v>
      </c>
      <c r="B25" s="5">
        <v>8.9320021003724196E+18</v>
      </c>
      <c r="C25" s="2" t="s">
        <v>17</v>
      </c>
      <c r="D25" s="2">
        <v>1018</v>
      </c>
      <c r="E25" s="2" t="s">
        <v>31</v>
      </c>
      <c r="F25" s="5">
        <f>G14</f>
        <v>875</v>
      </c>
      <c r="G25" s="5">
        <f t="shared" si="6"/>
        <v>563.5</v>
      </c>
      <c r="H25">
        <v>9</v>
      </c>
      <c r="I25">
        <f t="shared" si="8"/>
        <v>562.5</v>
      </c>
    </row>
    <row r="26" spans="1:10">
      <c r="A26" s="2">
        <v>32474731148</v>
      </c>
      <c r="B26" s="5">
        <v>8.9320021003724196E+18</v>
      </c>
      <c r="C26" s="2" t="s">
        <v>18</v>
      </c>
      <c r="D26" s="2">
        <v>1019</v>
      </c>
      <c r="E26" s="2" t="s">
        <v>31</v>
      </c>
      <c r="F26" s="5">
        <f t="shared" si="7"/>
        <v>563.5</v>
      </c>
      <c r="G26" s="5">
        <f t="shared" si="6"/>
        <v>626</v>
      </c>
      <c r="H26">
        <v>10</v>
      </c>
      <c r="I26">
        <f t="shared" si="8"/>
        <v>625</v>
      </c>
    </row>
    <row r="27" spans="1:10">
      <c r="A27" s="2">
        <v>32474731165</v>
      </c>
      <c r="B27" s="5">
        <v>8.9320021003724196E+18</v>
      </c>
      <c r="C27" s="2" t="s">
        <v>19</v>
      </c>
      <c r="D27" s="2">
        <v>1020</v>
      </c>
      <c r="E27" s="2" t="s">
        <v>31</v>
      </c>
      <c r="F27" s="5">
        <f t="shared" si="7"/>
        <v>626</v>
      </c>
      <c r="G27" s="5">
        <f t="shared" si="6"/>
        <v>688.5</v>
      </c>
      <c r="H27">
        <v>11</v>
      </c>
      <c r="I27">
        <f t="shared" si="8"/>
        <v>687.5</v>
      </c>
    </row>
    <row r="28" spans="1:10">
      <c r="A28" s="2">
        <v>32474731178</v>
      </c>
      <c r="B28" s="5">
        <v>8.9320021003724196E+18</v>
      </c>
      <c r="C28" s="2" t="s">
        <v>21</v>
      </c>
      <c r="D28" s="2">
        <v>1022</v>
      </c>
      <c r="E28" s="2" t="s">
        <v>31</v>
      </c>
      <c r="F28" s="5">
        <f t="shared" si="7"/>
        <v>688.5</v>
      </c>
      <c r="G28" s="5">
        <f t="shared" si="6"/>
        <v>751</v>
      </c>
      <c r="H28">
        <v>12</v>
      </c>
      <c r="I28">
        <f t="shared" si="8"/>
        <v>750</v>
      </c>
    </row>
    <row r="29" spans="1:10">
      <c r="A29" s="2">
        <v>32477830387</v>
      </c>
      <c r="B29" s="5">
        <v>8.9320021003724196E+18</v>
      </c>
      <c r="C29" s="2" t="s">
        <v>22</v>
      </c>
      <c r="D29" s="2">
        <v>1023</v>
      </c>
      <c r="E29" s="2" t="s">
        <v>31</v>
      </c>
      <c r="F29" s="5">
        <f t="shared" si="7"/>
        <v>751</v>
      </c>
      <c r="G29" s="5">
        <f t="shared" si="6"/>
        <v>813.5</v>
      </c>
      <c r="H29">
        <v>13</v>
      </c>
      <c r="I29">
        <f t="shared" si="8"/>
        <v>812.5</v>
      </c>
    </row>
    <row r="30" spans="1:10">
      <c r="A30" s="2">
        <v>32474731161</v>
      </c>
      <c r="B30" s="5">
        <v>8.9320021003724196E+18</v>
      </c>
      <c r="C30" s="2" t="s">
        <v>23</v>
      </c>
      <c r="D30" s="2">
        <v>1024</v>
      </c>
      <c r="E30" s="2" t="s">
        <v>31</v>
      </c>
      <c r="F30" s="5">
        <f t="shared" si="7"/>
        <v>813.5</v>
      </c>
      <c r="G30" s="5">
        <f t="shared" si="6"/>
        <v>876</v>
      </c>
      <c r="H30">
        <v>14</v>
      </c>
      <c r="I30">
        <f t="shared" si="8"/>
        <v>875</v>
      </c>
    </row>
    <row r="31" spans="1:10">
      <c r="A31" s="2">
        <v>32474731157</v>
      </c>
      <c r="B31" s="5">
        <v>8.9320021003724196E+18</v>
      </c>
      <c r="C31" s="2" t="s">
        <v>24</v>
      </c>
      <c r="D31" s="2">
        <v>1025</v>
      </c>
      <c r="E31" s="2" t="s">
        <v>31</v>
      </c>
      <c r="F31" s="5">
        <f t="shared" si="7"/>
        <v>876</v>
      </c>
      <c r="G31" s="5">
        <f t="shared" si="6"/>
        <v>938.5</v>
      </c>
      <c r="H31">
        <v>15</v>
      </c>
      <c r="I31">
        <f t="shared" si="8"/>
        <v>937.5</v>
      </c>
    </row>
    <row r="32" spans="1:10">
      <c r="A32" s="2">
        <v>32474731160</v>
      </c>
      <c r="B32" s="5">
        <v>8.9320021003724196E+18</v>
      </c>
      <c r="C32" s="2" t="s">
        <v>25</v>
      </c>
      <c r="D32" s="2">
        <v>1026</v>
      </c>
      <c r="E32" s="2" t="s">
        <v>31</v>
      </c>
      <c r="F32" s="5">
        <f t="shared" si="7"/>
        <v>938.5</v>
      </c>
      <c r="G32" s="5">
        <f t="shared" si="6"/>
        <v>1001</v>
      </c>
      <c r="H32">
        <v>16</v>
      </c>
      <c r="I32">
        <f t="shared" si="8"/>
        <v>1000</v>
      </c>
      <c r="J32" s="2"/>
    </row>
    <row r="33" spans="1:10">
      <c r="A33" s="2"/>
      <c r="B33" s="5"/>
      <c r="C33" s="2"/>
      <c r="D33" s="2"/>
      <c r="E33" s="2"/>
      <c r="F33" s="2"/>
      <c r="G33" s="2"/>
      <c r="J33" s="2"/>
    </row>
  </sheetData>
  <sortState ref="A2:Z29">
    <sortCondition ref="E2:E29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2020-10-03T15:19:36Z</dcterms:modified>
</cp:coreProperties>
</file>